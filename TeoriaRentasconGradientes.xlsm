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kapitales - Academico\009_UNIVERSIDADES\Academico UPC_PreG\Formulas_MateFi_VBA\"/>
    </mc:Choice>
  </mc:AlternateContent>
  <xr:revisionPtr revIDLastSave="0" documentId="13_ncr:1_{014F904B-853A-41D3-99CE-892062BBE034}" xr6:coauthVersionLast="47" xr6:coauthVersionMax="47" xr10:uidLastSave="{00000000-0000-0000-0000-000000000000}"/>
  <bookViews>
    <workbookView xWindow="28680" yWindow="-2505" windowWidth="28110" windowHeight="16440" xr2:uid="{3B0C273C-F8FB-4DC7-86EB-B0CAF1ED3171}"/>
  </bookViews>
  <sheets>
    <sheet name="Matematica Financiera" sheetId="1" r:id="rId1"/>
  </sheets>
  <functionGroups builtInGroupCount="19"/>
  <definedNames>
    <definedName name="_xlnm.Print_Area" localSheetId="0">'Matematica Financiera'!$A$1:$X$56</definedName>
  </definedNames>
  <calcPr calcId="191029"/>
  <extLst>
    <ext xmlns:x14="http://schemas.microsoft.com/office/spreadsheetml/2009/9/main" uri="{8193D73E-4604-4355-AFF4-8A2333D13BE4}">
      <x14:definedNames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7" i="1" l="1"/>
  <c r="D17" i="1"/>
  <c r="C17" i="1"/>
  <c r="D33" i="1"/>
  <c r="C32" i="1"/>
  <c r="N33" i="1"/>
  <c r="N32" i="1"/>
  <c r="C33" i="1"/>
  <c r="D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6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7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N17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2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N32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sharedStrings.xml><?xml version="1.0" encoding="utf-8"?>
<sst xmlns="http://schemas.openxmlformats.org/spreadsheetml/2006/main" count="39" uniqueCount="28">
  <si>
    <t>PERSONALIZADAS con VBA (Visual Basic for Applications)</t>
  </si>
  <si>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</si>
  <si>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</si>
  <si>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</si>
  <si>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</si>
  <si>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</si>
  <si>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</si>
  <si>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</si>
  <si>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</si>
  <si>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</si>
  <si>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</si>
  <si>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</si>
  <si>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</si>
  <si>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</si>
  <si>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</si>
  <si>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</si>
  <si>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</si>
  <si>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</si>
  <si>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</si>
  <si>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</si>
  <si>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</si>
  <si>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</si>
  <si>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</si>
  <si>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</si>
  <si>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VP_RGG_Perp = Infinito</t>
  </si>
  <si>
    <t>© Alfonso Chang, MSc</t>
  </si>
  <si>
    <t>MATEMÁTICAS FINANCIERAS - FORMULAS DE RENTAS CON GRADIENTES</t>
  </si>
  <si>
    <t>achangm@uni.edu.pe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</si>
</sst>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31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44" fontId="7" fillId="2" borderId="0" xfId="2" applyFont="1" applyFill="1"/>
    <xf numFmtId="44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44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4" fontId="16" fillId="3" borderId="8" xfId="1" applyNumberFormat="1" applyFont="1" applyFill="1" applyBorder="1" applyProtection="1">
      <protection locked="0"/>
    </xf>
    <xf numFmtId="44" fontId="15" fillId="3" borderId="9" xfId="2" applyFont="1" applyFill="1" applyBorder="1" applyProtection="1">
      <protection locked="0"/>
    </xf>
    <xf numFmtId="44" fontId="15" fillId="3" borderId="10" xfId="2" applyFont="1" applyFill="1" applyBorder="1" applyProtection="1">
      <protection locked="0"/>
    </xf>
    <xf numFmtId="44" fontId="10" fillId="3" borderId="11" xfId="2" applyFont="1" applyFill="1" applyBorder="1" applyAlignment="1" applyProtection="1">
      <alignment horizontal="center"/>
      <protection locked="0"/>
    </xf>
    <xf numFmtId="44" fontId="15" fillId="3" borderId="11" xfId="2" applyFont="1" applyFill="1" applyBorder="1" applyProtection="1">
      <protection locked="0"/>
    </xf>
    <xf numFmtId="44" fontId="15" fillId="3" borderId="12" xfId="2" applyFont="1" applyFill="1" applyBorder="1" applyProtection="1">
      <protection locked="0"/>
    </xf>
    <xf numFmtId="44" fontId="15" fillId="3" borderId="13" xfId="2" applyFont="1" applyFill="1" applyBorder="1" applyProtection="1">
      <protection locked="0"/>
    </xf>
    <xf numFmtId="44" fontId="10" fillId="3" borderId="13" xfId="2" applyFont="1" applyFill="1" applyBorder="1" applyAlignment="1" applyProtection="1">
      <alignment horizontal="center"/>
      <protection locked="0"/>
    </xf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18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22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12</xdr:col>
      <xdr:colOff>0</xdr:colOff>
      <xdr:row>19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34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7353300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7353300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𝑉𝑃_𝑅𝐺𝐺=𝑅×[(1−[(1+𝑔%)/(1+𝑡%)]^𝑛𝑝𝑒𝑟)/(𝑡%−𝑔%)]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180975</xdr:colOff>
      <xdr:row>51</xdr:row>
      <xdr:rowOff>66675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80975" y="11296650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80975" y="11296650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40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8705850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8705850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47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12</xdr:col>
      <xdr:colOff>85725</xdr:colOff>
      <xdr:row>34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523875</xdr:colOff>
      <xdr:row>47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828675</xdr:colOff>
      <xdr:row>22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285750</xdr:colOff>
      <xdr:row>40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6410325" y="86010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6410325" y="86010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228600</xdr:colOff>
      <xdr:row>51</xdr:row>
      <xdr:rowOff>142875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8820150" y="113728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8820150" y="113728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Sheet2"/>
  <dimension ref="A1:X56"/>
  <sheetViews>
    <sheetView showGridLines="0" tabSelected="1" zoomScale="85" zoomScaleNormal="85" workbookViewId="0"/>
  </sheetViews>
  <sheetFormatPr defaultColWidth="0" defaultRowHeight="16.5" zeroHeight="1" x14ac:dyDescent="0.3"/>
  <cols>
    <col min="1" max="1" width="5" style="1" customWidth="1"/>
    <col min="2" max="2" width="18" style="1" bestFit="1" customWidth="1"/>
    <col min="3" max="3" width="12.42578125" style="1" bestFit="1" customWidth="1"/>
    <col min="4" max="4" width="14" style="1" customWidth="1"/>
    <col min="5" max="6" width="9.140625" style="1" customWidth="1"/>
    <col min="7" max="8" width="13" style="1" customWidth="1"/>
    <col min="9" max="9" width="9.5703125" style="1" bestFit="1" customWidth="1"/>
    <col min="10" max="10" width="15" style="1" customWidth="1"/>
    <col min="11" max="11" width="14.7109375" style="1" customWidth="1"/>
    <col min="12" max="13" width="9.140625" style="1" customWidth="1"/>
    <col min="14" max="14" width="15.28515625" style="1" customWidth="1"/>
    <col min="15" max="15" width="11.85546875" style="1" customWidth="1"/>
    <col min="16" max="24" width="9.140625" style="1" customWidth="1"/>
    <col min="25" max="16384" width="9.140625" style="1" hidden="1"/>
  </cols>
  <sheetData>
    <row r="1" spans="1:20" ht="23.25" x14ac:dyDescent="0.35">
      <c r="A1" s="18" t="s">
        <v>26</v>
      </c>
      <c r="P1" s="2" t="s">
        <v>25</v>
      </c>
      <c r="T1" s="3" t="s">
        <v>27</v>
      </c>
    </row>
    <row r="2" spans="1:20" s="5" customFormat="1" ht="18" x14ac:dyDescent="0.35">
      <c r="A2" s="4" t="s">
        <v>0</v>
      </c>
      <c r="P2" s="6">
        <v>2022</v>
      </c>
      <c r="T2" s="3" t="s">
        <v>19</v>
      </c>
    </row>
    <row r="3" spans="1:20" s="5" customFormat="1" ht="18" x14ac:dyDescent="0.35">
      <c r="M3" s="3"/>
    </row>
    <row r="4" spans="1:20" s="7" customFormat="1" x14ac:dyDescent="0.3">
      <c r="B4" s="7" t="s">
        <v>1</v>
      </c>
    </row>
    <row r="5" spans="1:20" x14ac:dyDescent="0.3"/>
    <row r="6" spans="1:20" x14ac:dyDescent="0.3">
      <c r="B6" s="1" t="s">
        <v>20</v>
      </c>
      <c r="C6" s="19">
        <v>0.15</v>
      </c>
    </row>
    <row r="7" spans="1:20" x14ac:dyDescent="0.3">
      <c r="B7" s="1" t="s">
        <v>2</v>
      </c>
      <c r="C7" s="20">
        <v>10</v>
      </c>
    </row>
    <row r="8" spans="1:20" x14ac:dyDescent="0.3">
      <c r="B8" s="1" t="s">
        <v>21</v>
      </c>
      <c r="C8" s="21">
        <v>100</v>
      </c>
    </row>
    <row r="9" spans="1:20" x14ac:dyDescent="0.3">
      <c r="B9" s="1" t="s">
        <v>3</v>
      </c>
      <c r="C9" s="22">
        <v>0.1</v>
      </c>
    </row>
    <row r="10" spans="1:20" x14ac:dyDescent="0.3">
      <c r="B10" s="1" t="s">
        <v>4</v>
      </c>
      <c r="C10" s="23">
        <v>15</v>
      </c>
    </row>
    <row r="11" spans="1:20" x14ac:dyDescent="0.3"/>
    <row r="12" spans="1:20" x14ac:dyDescent="0.3">
      <c r="K12" s="8"/>
    </row>
    <row r="13" spans="1:20" s="9" customFormat="1" ht="18.75" x14ac:dyDescent="0.3">
      <c r="B13" s="9" t="s">
        <v>5</v>
      </c>
      <c r="K13" s="8"/>
      <c r="M13" s="9" t="s">
        <v>6</v>
      </c>
    </row>
    <row r="14" spans="1:20" x14ac:dyDescent="0.3">
      <c r="K14" s="8"/>
    </row>
    <row r="15" spans="1:20" s="10" customFormat="1" x14ac:dyDescent="0.3">
      <c r="C15" s="11" t="s">
        <v>7</v>
      </c>
      <c r="D15" s="12" t="s">
        <v>8</v>
      </c>
      <c r="K15" s="8"/>
      <c r="N15" s="11" t="s">
        <v>7</v>
      </c>
      <c r="O15" s="12" t="s">
        <v>8</v>
      </c>
    </row>
    <row r="16" spans="1:20" s="10" customFormat="1" x14ac:dyDescent="0.3">
      <c r="C16" s="13" t="s">
        <v>9</v>
      </c>
      <c r="D16" s="13"/>
      <c r="K16" s="8"/>
      <c r="N16" s="13" t="s">
        <v>9</v>
      </c>
      <c r="O16" s="13"/>
    </row>
    <row r="17" spans="2:15" x14ac:dyDescent="0.3">
      <c r="B17" s="14" t="s">
        <v>10</v>
      </c>
      <c r="C17" s="24">
        <f>PV(C6, C7, -C8)</f>
        <v>501.87686258542283</v>
      </c>
      <c r="D17" s="25">
        <f>C8 / C6</f>
        <v>666.66666666666674</v>
      </c>
      <c r="K17" s="8"/>
      <c r="M17" s="14" t="s">
        <v>11</v>
      </c>
      <c r="N17" s="24">
        <f>FV(C6,C7,-C8)</f>
        <v>2030.3718238052713</v>
      </c>
      <c r="O17" s="26" t="s">
        <v>12</v>
      </c>
    </row>
    <row r="18" spans="2:15" x14ac:dyDescent="0.3">
      <c r="K18" s="8"/>
    </row>
    <row r="19" spans="2:15" x14ac:dyDescent="0.3">
      <c r="K19" s="8"/>
    </row>
    <row r="20" spans="2:15" x14ac:dyDescent="0.3">
      <c r="K20" s="8"/>
    </row>
    <row r="21" spans="2:15" x14ac:dyDescent="0.3">
      <c r="K21" s="8"/>
    </row>
    <row r="22" spans="2:15" x14ac:dyDescent="0.3">
      <c r="K22" s="8"/>
    </row>
    <row r="23" spans="2:15" x14ac:dyDescent="0.3">
      <c r="K23" s="8"/>
    </row>
    <row r="24" spans="2:15" x14ac:dyDescent="0.3">
      <c r="K24" s="8"/>
    </row>
    <row r="25" spans="2:15" x14ac:dyDescent="0.3">
      <c r="K25" s="8"/>
    </row>
    <row r="26" spans="2:15" x14ac:dyDescent="0.3"/>
    <row r="27" spans="2:15" x14ac:dyDescent="0.3"/>
    <row r="28" spans="2:15" s="9" customFormat="1" ht="18.75" x14ac:dyDescent="0.3">
      <c r="B28" s="9" t="s">
        <v>13</v>
      </c>
      <c r="K28" s="8"/>
      <c r="M28" s="9" t="s">
        <v>14</v>
      </c>
    </row>
    <row r="29" spans="2:15" x14ac:dyDescent="0.3">
      <c r="K29" s="8"/>
    </row>
    <row r="30" spans="2:15" s="7" customFormat="1" x14ac:dyDescent="0.3">
      <c r="C30" s="11" t="s">
        <v>7</v>
      </c>
      <c r="D30" s="12" t="s">
        <v>8</v>
      </c>
      <c r="K30" s="8"/>
      <c r="N30" s="11" t="s">
        <v>7</v>
      </c>
      <c r="O30" s="12" t="s">
        <v>8</v>
      </c>
    </row>
    <row r="31" spans="2:15" s="7" customFormat="1" x14ac:dyDescent="0.3">
      <c r="C31" s="13" t="s">
        <v>9</v>
      </c>
      <c r="D31" s="13"/>
      <c r="K31" s="8"/>
      <c r="N31" s="13" t="s">
        <v>9</v>
      </c>
      <c r="O31" s="13"/>
    </row>
    <row r="32" spans="2:15" x14ac:dyDescent="0.3">
      <c r="B32" s="15" t="s">
        <v>15</v>
      </c>
      <c r="C32" s="24">
        <f>VP_RGA(C6,C7,C8,C9)</f>
        <v>503.57481032048122</v>
      </c>
      <c r="D32" s="27">
        <f>VP_RGG_cPER(C6,C8,C9)</f>
        <v>2000.0000596046468</v>
      </c>
      <c r="K32" s="8"/>
      <c r="M32" s="15" t="s">
        <v>16</v>
      </c>
      <c r="N32" s="24">
        <f>VF_RGG(C6,C7,C8,C9)</f>
        <v>2903.6305674784317</v>
      </c>
      <c r="O32" s="26" t="s">
        <v>12</v>
      </c>
    </row>
    <row r="33" spans="2:15" ht="17.25" thickBot="1" x14ac:dyDescent="0.35">
      <c r="B33" s="15" t="s">
        <v>17</v>
      </c>
      <c r="C33" s="28">
        <f>VP_RGA(C6, C7, C8, C10)</f>
        <v>756.56901904897973</v>
      </c>
      <c r="D33" s="29">
        <f>VP_RGA_cPER(C6,C8,C10)</f>
        <v>1333.3333333333335</v>
      </c>
      <c r="K33" s="8"/>
      <c r="M33" s="15" t="s">
        <v>18</v>
      </c>
      <c r="N33" s="28">
        <f>VF_RGA(C6,C7,C8,C10)</f>
        <v>3060.7436476105422</v>
      </c>
      <c r="O33" s="30" t="s">
        <v>12</v>
      </c>
    </row>
    <row r="34" spans="2:15" x14ac:dyDescent="0.3">
      <c r="C34" s="16"/>
    </row>
    <row r="35" spans="2:15" x14ac:dyDescent="0.3">
      <c r="C35" s="16"/>
      <c r="J35" s="17"/>
      <c r="K35" s="17"/>
      <c r="L35" s="17"/>
      <c r="M35" s="17"/>
    </row>
    <row r="36" spans="2:15" x14ac:dyDescent="0.3">
      <c r="C36" s="16"/>
      <c r="K36" s="8"/>
    </row>
    <row r="37" spans="2:15" x14ac:dyDescent="0.3">
      <c r="K37" s="8"/>
    </row>
    <row r="38" spans="2:15" x14ac:dyDescent="0.3">
      <c r="K38" s="8"/>
    </row>
    <row r="39" spans="2:15" x14ac:dyDescent="0.3">
      <c r="K39" s="8"/>
    </row>
    <row r="40" spans="2:15" x14ac:dyDescent="0.3">
      <c r="K40" s="8"/>
    </row>
    <row r="41" spans="2:15" x14ac:dyDescent="0.3">
      <c r="B41" s="1" t="s">
        <v>22</v>
      </c>
      <c r="F41" s="1" t="s">
        <v>23</v>
      </c>
      <c r="K41" s="8"/>
    </row>
    <row r="42" spans="2:15" x14ac:dyDescent="0.3">
      <c r="K42" s="8"/>
    </row>
    <row r="43" spans="2:15" x14ac:dyDescent="0.3">
      <c r="F43" s="1" t="s">
        <v>24</v>
      </c>
      <c r="K43" s="8"/>
    </row>
    <row r="44" spans="2:15" x14ac:dyDescent="0.3">
      <c r="K44" s="8"/>
    </row>
    <row r="45" spans="2:15" x14ac:dyDescent="0.3"/>
    <row r="46" spans="2:15" x14ac:dyDescent="0.3"/>
    <row r="47" spans="2:15" x14ac:dyDescent="0.3">
      <c r="K47" s="8"/>
    </row>
    <row r="48" spans="2:15" x14ac:dyDescent="0.3">
      <c r="K48" s="8"/>
    </row>
    <row r="49" spans="11:11" x14ac:dyDescent="0.3">
      <c r="K49" s="8"/>
    </row>
    <row r="50" spans="11:11" x14ac:dyDescent="0.3">
      <c r="K50" s="8"/>
    </row>
    <row r="51" spans="11:11" x14ac:dyDescent="0.3">
      <c r="K51" s="8"/>
    </row>
    <row r="52" spans="11:11" x14ac:dyDescent="0.3">
      <c r="K52" s="8"/>
    </row>
    <row r="53" spans="11:11" x14ac:dyDescent="0.3">
      <c r="K53" s="8"/>
    </row>
    <row r="54" spans="11:11" x14ac:dyDescent="0.3">
      <c r="K54" s="8"/>
    </row>
    <row r="55" spans="11:11" x14ac:dyDescent="0.3">
      <c r="K55" s="8"/>
    </row>
    <row r="56" spans="11:11" x14ac:dyDescent="0.3"/>
  </sheetData>
  <sheetProtection sheet="1" objects="1" scenarios="1"/>
  <hyperlinks>
    <hyperlink ref="T2" r:id="rId1" xr:uid="{AB43C2D1-C545-4D81-9E6E-3E9AF5D7086F}"/>
    <hyperlink ref="T1" r:id="rId2" xr:uid="{E5AEE112-7C53-4442-A0B3-DE574297B720}"/>
  </hyperlinks>
  <pageMargins left="0.7" right="0.7" top="0.75" bottom="0.75" header="0.3" footer="0.3"/>
  <pageSetup paperSize="9" scale="25" orientation="landscape" horizontalDpi="1200" verticalDpi="1200" r:id="rId3"/>
  <drawing r:id="rId4"/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Matematica Financiera</vt:lpstr>
      <vt:lpstr>'Matematica Financiera'!Print_Area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Alfonso Chang</cp:lastModifiedBy>
  <dcterms:created xsi:type="dcterms:W3CDTF">2022-06-10T00:40:13Z</dcterms:created>
  <dcterms:modified xsi:type="dcterms:W3CDTF">2022-06-15T02:15:18Z</dcterms:modified>
</cp:coreProperties>
</file>